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d7d1b069c14c18/Documents/"/>
    </mc:Choice>
  </mc:AlternateContent>
  <xr:revisionPtr revIDLastSave="0" documentId="8_{FC5292C2-3846-4EDF-8676-5227EE98867F}" xr6:coauthVersionLast="47" xr6:coauthVersionMax="47" xr10:uidLastSave="{00000000-0000-0000-0000-000000000000}"/>
  <bookViews>
    <workbookView xWindow="-108" yWindow="-108" windowWidth="23256" windowHeight="12456" xr2:uid="{E8DA49AA-B06F-4E18-A6E1-DC8209C98D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</calcChain>
</file>

<file path=xl/sharedStrings.xml><?xml version="1.0" encoding="utf-8"?>
<sst xmlns="http://schemas.openxmlformats.org/spreadsheetml/2006/main" count="25" uniqueCount="23">
  <si>
    <t>DEVIS ESTIMATIF ET QUANTITATIF DES TRAVAUX DE FONDATION</t>
  </si>
  <si>
    <t>DESIGNATION</t>
  </si>
  <si>
    <t>QUANTITES</t>
  </si>
  <si>
    <t>PRIX UNITAIRE</t>
  </si>
  <si>
    <t>TOTAL</t>
  </si>
  <si>
    <t>DESIGNATIONS</t>
  </si>
  <si>
    <t>SABLE</t>
  </si>
  <si>
    <t>GRAVIER 5/15</t>
  </si>
  <si>
    <t>FER  HA10</t>
  </si>
  <si>
    <t>FER  HA8</t>
  </si>
  <si>
    <t>FER ROND LISSE 6</t>
  </si>
  <si>
    <t>FOND DE COFFRAGE</t>
  </si>
  <si>
    <t>LATTES</t>
  </si>
  <si>
    <t>POINTES ORDINAIRES</t>
  </si>
  <si>
    <t>POINTES TOCS</t>
  </si>
  <si>
    <t>SEAUX MACONS</t>
  </si>
  <si>
    <t>EAUX</t>
  </si>
  <si>
    <t>CIMENT   SACS 50Kg    42.5 MPA</t>
  </si>
  <si>
    <t>PARPINGS DE 20</t>
  </si>
  <si>
    <t>FIL D'ATTACHE</t>
  </si>
  <si>
    <t>PLANCHES DE COFFRAGE RABOTEES</t>
  </si>
  <si>
    <t xml:space="preserve">1500L </t>
  </si>
  <si>
    <t>FAIT PAR ING. MVOGO. NGOAH. I.S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</si>
</sst>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6337778862885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2" borderId="6" xfId="0" applyFont="1" applyFill="1" applyBorder="1" applyAlignment="1">
      <alignment vertical="center"/>
    </xf>
    <xf numFmtId="0" fontId="0" fillId="0" borderId="7" xfId="0" applyBorder="1"/>
    <xf numFmtId="0" fontId="1" fillId="0" borderId="2" xfId="0" applyFont="1" applyBorder="1"/>
    <xf numFmtId="0" fontId="1" fillId="3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 applyBorder="1"/>
    <xf numFmtId="0" fontId="2" fillId="0" borderId="8" xfId="0" applyFont="1" applyBorder="1"/>
    <xf numFmtId="0" fontId="7" fillId="0" borderId="0" xfId="0" applyFont="1"/>
    <xf numFmtId="0" fontId="3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3" fontId="2" fillId="7" borderId="11" xfId="0" applyNumberFormat="1" applyFont="1" applyFill="1" applyBorder="1" applyAlignment="1">
      <alignment horizontal="center" vertical="center"/>
    </xf>
    <xf numFmtId="3" fontId="2" fillId="8" borderId="7" xfId="0" applyNumberFormat="1" applyFont="1" applyFill="1" applyBorder="1" applyAlignment="1">
      <alignment horizontal="center" vertical="center"/>
    </xf>
    <xf numFmtId="0" fontId="2" fillId="8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3" fontId="2" fillId="9" borderId="7" xfId="0" applyNumberFormat="1" applyFont="1" applyFill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7BB8-DA96-40EA-B99E-95CBD3EDB5FF}">
  <dimension ref="A1:J25"/>
  <sheetViews>
    <sheetView tabSelected="1" workbookViewId="0">
      <selection activeCell="G4" sqref="G4"/>
    </sheetView>
  </sheetViews>
  <sheetFormatPr baseColWidth="10" defaultRowHeight="14.4" x14ac:dyDescent="0.3"/>
  <cols>
    <col min="1" max="1" width="32.33203125" customWidth="1"/>
    <col min="2" max="2" width="23.21875" hidden="1" customWidth="1"/>
    <col min="3" max="3" width="16.6640625" customWidth="1"/>
    <col min="4" max="4" width="2.6640625" hidden="1" customWidth="1"/>
    <col min="5" max="5" width="22.88671875" customWidth="1"/>
    <col min="6" max="6" width="0.21875" customWidth="1"/>
    <col min="7" max="7" width="34.88671875" customWidth="1"/>
    <col min="8" max="8" width="0.109375" customWidth="1"/>
  </cols>
  <sheetData>
    <row r="1" spans="1:10" ht="33" customHeight="1" thickBot="1" x14ac:dyDescent="0.35">
      <c r="A1" s="15" t="s">
        <v>0</v>
      </c>
      <c r="B1" s="16"/>
      <c r="C1" s="16"/>
      <c r="D1" s="16"/>
      <c r="E1" s="16"/>
      <c r="F1" s="16"/>
      <c r="G1" s="16"/>
      <c r="H1" s="5"/>
    </row>
    <row r="2" spans="1:10" ht="15" thickBot="1" x14ac:dyDescent="0.35"/>
    <row r="3" spans="1:10" ht="28.8" customHeight="1" thickTop="1" thickBot="1" x14ac:dyDescent="0.35">
      <c r="A3" s="17" t="s">
        <v>5</v>
      </c>
      <c r="B3" s="17" t="s">
        <v>1</v>
      </c>
      <c r="C3" s="17" t="s">
        <v>2</v>
      </c>
      <c r="D3" s="17" t="s">
        <v>1</v>
      </c>
      <c r="E3" s="17" t="s">
        <v>3</v>
      </c>
      <c r="F3" s="17" t="s">
        <v>1</v>
      </c>
      <c r="G3" s="17" t="s">
        <v>4</v>
      </c>
      <c r="H3" s="1"/>
      <c r="J3" s="14"/>
    </row>
    <row r="4" spans="1:10" ht="28.8" customHeight="1" thickTop="1" thickBot="1" x14ac:dyDescent="0.35">
      <c r="A4" s="8" t="s">
        <v>6</v>
      </c>
      <c r="B4" s="6"/>
      <c r="C4" s="18">
        <v>1</v>
      </c>
      <c r="D4" s="11"/>
      <c r="E4" s="20">
        <v>180000</v>
      </c>
      <c r="F4" s="11"/>
      <c r="G4" s="23">
        <f>C4*E4</f>
        <v>180000</v>
      </c>
      <c r="H4" s="4"/>
    </row>
    <row r="5" spans="1:10" ht="27.6" customHeight="1" thickTop="1" thickBot="1" x14ac:dyDescent="0.35">
      <c r="A5" s="8" t="s">
        <v>7</v>
      </c>
      <c r="B5" s="6"/>
      <c r="C5" s="18">
        <v>1</v>
      </c>
      <c r="D5" s="11"/>
      <c r="E5" s="20">
        <v>210000</v>
      </c>
      <c r="F5" s="11"/>
      <c r="G5" s="23">
        <f t="shared" ref="G5:G18" si="0">C5*E5</f>
        <v>210000</v>
      </c>
    </row>
    <row r="6" spans="1:10" ht="28.8" customHeight="1" thickTop="1" thickBot="1" x14ac:dyDescent="0.35">
      <c r="A6" s="8" t="s">
        <v>17</v>
      </c>
      <c r="B6" s="6"/>
      <c r="C6" s="18">
        <v>60</v>
      </c>
      <c r="D6" s="11"/>
      <c r="E6" s="21">
        <v>5100</v>
      </c>
      <c r="F6" s="11"/>
      <c r="G6" s="23">
        <f t="shared" si="0"/>
        <v>306000</v>
      </c>
    </row>
    <row r="7" spans="1:10" ht="22.2" customHeight="1" thickTop="1" thickBot="1" x14ac:dyDescent="0.35">
      <c r="A7" s="8" t="s">
        <v>8</v>
      </c>
      <c r="B7" s="6"/>
      <c r="C7" s="18">
        <v>40</v>
      </c>
      <c r="D7" s="11"/>
      <c r="E7" s="22">
        <v>4500</v>
      </c>
      <c r="F7" s="11"/>
      <c r="G7" s="23">
        <f t="shared" si="0"/>
        <v>180000</v>
      </c>
    </row>
    <row r="8" spans="1:10" ht="29.4" customHeight="1" thickTop="1" thickBot="1" x14ac:dyDescent="0.35">
      <c r="A8" s="8" t="s">
        <v>9</v>
      </c>
      <c r="B8" s="6"/>
      <c r="C8" s="18">
        <v>12</v>
      </c>
      <c r="D8" s="11"/>
      <c r="E8" s="21">
        <v>3000</v>
      </c>
      <c r="F8" s="11"/>
      <c r="G8" s="23">
        <f t="shared" si="0"/>
        <v>36000</v>
      </c>
    </row>
    <row r="9" spans="1:10" ht="27.6" customHeight="1" thickTop="1" thickBot="1" x14ac:dyDescent="0.35">
      <c r="A9" s="8" t="s">
        <v>10</v>
      </c>
      <c r="B9" s="6"/>
      <c r="C9" s="18">
        <v>36</v>
      </c>
      <c r="D9" s="11"/>
      <c r="E9" s="21">
        <v>1500</v>
      </c>
      <c r="F9" s="11"/>
      <c r="G9" s="23">
        <f t="shared" si="0"/>
        <v>54000</v>
      </c>
    </row>
    <row r="10" spans="1:10" ht="28.2" customHeight="1" thickTop="1" thickBot="1" x14ac:dyDescent="0.35">
      <c r="A10" s="8" t="s">
        <v>18</v>
      </c>
      <c r="B10" s="6"/>
      <c r="C10" s="18">
        <v>1150</v>
      </c>
      <c r="D10" s="11"/>
      <c r="E10" s="22">
        <v>225</v>
      </c>
      <c r="F10" s="11"/>
      <c r="G10" s="23">
        <f t="shared" si="0"/>
        <v>258750</v>
      </c>
    </row>
    <row r="11" spans="1:10" ht="28.8" customHeight="1" thickTop="1" thickBot="1" x14ac:dyDescent="0.35">
      <c r="A11" s="8" t="s">
        <v>20</v>
      </c>
      <c r="B11" s="6"/>
      <c r="C11" s="18">
        <v>10</v>
      </c>
      <c r="D11" s="11"/>
      <c r="E11" s="21">
        <v>3500</v>
      </c>
      <c r="F11" s="11"/>
      <c r="G11" s="23">
        <f t="shared" si="0"/>
        <v>35000</v>
      </c>
    </row>
    <row r="12" spans="1:10" ht="29.4" customHeight="1" thickTop="1" thickBot="1" x14ac:dyDescent="0.35">
      <c r="A12" s="8" t="s">
        <v>11</v>
      </c>
      <c r="B12" s="6"/>
      <c r="C12" s="18">
        <v>5</v>
      </c>
      <c r="D12" s="11"/>
      <c r="E12" s="21">
        <v>2500</v>
      </c>
      <c r="F12" s="11"/>
      <c r="G12" s="23">
        <f t="shared" si="0"/>
        <v>12500</v>
      </c>
    </row>
    <row r="13" spans="1:10" ht="30.6" customHeight="1" thickTop="1" thickBot="1" x14ac:dyDescent="0.35">
      <c r="A13" s="8" t="s">
        <v>12</v>
      </c>
      <c r="B13" s="6"/>
      <c r="C13" s="18">
        <v>20</v>
      </c>
      <c r="D13" s="11"/>
      <c r="E13" s="22">
        <v>1200</v>
      </c>
      <c r="F13" s="11"/>
      <c r="G13" s="23">
        <f t="shared" si="0"/>
        <v>24000</v>
      </c>
    </row>
    <row r="14" spans="1:10" ht="25.2" customHeight="1" thickTop="1" thickBot="1" x14ac:dyDescent="0.35">
      <c r="A14" s="8" t="s">
        <v>13</v>
      </c>
      <c r="B14" s="6"/>
      <c r="C14" s="18">
        <v>3</v>
      </c>
      <c r="D14" s="11"/>
      <c r="E14" s="22">
        <v>3500</v>
      </c>
      <c r="F14" s="11"/>
      <c r="G14" s="23">
        <f t="shared" si="0"/>
        <v>10500</v>
      </c>
    </row>
    <row r="15" spans="1:10" ht="29.4" customHeight="1" thickTop="1" thickBot="1" x14ac:dyDescent="0.35">
      <c r="A15" s="8" t="s">
        <v>14</v>
      </c>
      <c r="B15" s="6"/>
      <c r="C15" s="18">
        <v>3</v>
      </c>
      <c r="D15" s="11"/>
      <c r="E15" s="20">
        <v>1500</v>
      </c>
      <c r="F15" s="11"/>
      <c r="G15" s="23">
        <f t="shared" si="0"/>
        <v>4500</v>
      </c>
    </row>
    <row r="16" spans="1:10" ht="27.6" customHeight="1" thickTop="1" thickBot="1" x14ac:dyDescent="0.35">
      <c r="A16" s="8" t="s">
        <v>15</v>
      </c>
      <c r="B16" s="6"/>
      <c r="C16" s="18">
        <v>10</v>
      </c>
      <c r="D16" s="11"/>
      <c r="E16" s="22">
        <v>1000</v>
      </c>
      <c r="F16" s="11"/>
      <c r="G16" s="23">
        <f t="shared" si="0"/>
        <v>10000</v>
      </c>
    </row>
    <row r="17" spans="1:7" ht="27.6" customHeight="1" thickTop="1" thickBot="1" x14ac:dyDescent="0.35">
      <c r="A17" s="8" t="s">
        <v>19</v>
      </c>
      <c r="B17" s="6"/>
      <c r="C17" s="18">
        <v>5</v>
      </c>
      <c r="D17" s="11"/>
      <c r="E17" s="22">
        <v>1000</v>
      </c>
      <c r="F17" s="11"/>
      <c r="G17" s="23">
        <f t="shared" si="0"/>
        <v>5000</v>
      </c>
    </row>
    <row r="18" spans="1:7" ht="28.2" customHeight="1" thickTop="1" thickBot="1" x14ac:dyDescent="0.35">
      <c r="A18" s="8" t="s">
        <v>16</v>
      </c>
      <c r="B18" s="6"/>
      <c r="C18" s="18" t="s">
        <v>21</v>
      </c>
      <c r="D18" s="11"/>
      <c r="E18" s="22">
        <v>1</v>
      </c>
      <c r="F18" s="11"/>
      <c r="G18" s="23" t="e">
        <f t="shared" si="0"/>
        <v>#VALUE!</v>
      </c>
    </row>
    <row r="19" spans="1:7" ht="31.2" customHeight="1" thickTop="1" thickBot="1" x14ac:dyDescent="0.35">
      <c r="A19" s="24" t="s">
        <v>22</v>
      </c>
      <c r="B19" s="3"/>
      <c r="C19" s="12"/>
      <c r="D19" s="12"/>
      <c r="E19" s="12"/>
      <c r="F19" s="13"/>
      <c r="G19" s="19">
        <f>G4+G5+G6+G7+G8+G9+G10+G11+G12+G13+G14+G15+G16+G17</f>
        <v>1326250</v>
      </c>
    </row>
    <row r="20" spans="1:7" ht="15" hidden="1" thickBot="1" x14ac:dyDescent="0.35">
      <c r="A20" s="7"/>
      <c r="B20" s="3"/>
      <c r="C20" s="3"/>
      <c r="D20" s="3"/>
      <c r="E20" s="3"/>
      <c r="F20" s="9"/>
      <c r="G20" s="10"/>
    </row>
    <row r="21" spans="1:7" x14ac:dyDescent="0.3">
      <c r="A21" s="7"/>
      <c r="B21" s="3"/>
      <c r="C21" s="3"/>
      <c r="D21" s="3"/>
      <c r="E21" s="3"/>
      <c r="F21" s="3"/>
    </row>
    <row r="22" spans="1:7" x14ac:dyDescent="0.3">
      <c r="A22" s="7"/>
      <c r="B22" s="3"/>
      <c r="C22" s="3"/>
      <c r="D22" s="3"/>
      <c r="E22" s="3"/>
      <c r="F22" s="3"/>
    </row>
    <row r="23" spans="1:7" x14ac:dyDescent="0.3">
      <c r="A23" s="2"/>
      <c r="B23" s="3"/>
      <c r="C23" s="3"/>
      <c r="D23" s="3"/>
      <c r="E23" s="3"/>
      <c r="F23" s="3"/>
    </row>
    <row r="24" spans="1:7" x14ac:dyDescent="0.3">
      <c r="A24" s="2"/>
      <c r="B24" s="3"/>
    </row>
    <row r="25" spans="1:7" x14ac:dyDescent="0.3">
      <c r="A25" s="2"/>
      <c r="B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IDRISSA BOLY</dc:creator>
  <cp:lastModifiedBy>IDRISSA BOLY</cp:lastModifiedBy>
  <dcterms:created xsi:type="dcterms:W3CDTF">2024-08-24T14:31:46Z</dcterms:created>
  <dcterms:modified xsi:type="dcterms:W3CDTF">2024-08-24T16:45:00Z</dcterms:modified>
</cp:coreProperties>
</file>